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_6\VDI\"/>
    </mc:Choice>
  </mc:AlternateContent>
  <xr:revisionPtr revIDLastSave="0" documentId="13_ncr:1_{01AB3BD9-1C32-4A5E-9908-50B13DB1ED5F}" xr6:coauthVersionLast="47" xr6:coauthVersionMax="47" xr10:uidLastSave="{00000000-0000-0000-0000-000000000000}"/>
  <bookViews>
    <workbookView xWindow="-110" yWindow="-110" windowWidth="19420" windowHeight="10300" firstSheet="3" activeTab="4" xr2:uid="{E83F11B9-518A-4AA9-A645-5E83DD4084DB}"/>
  </bookViews>
  <sheets>
    <sheet name="Agregat" sheetId="2" r:id="rId1"/>
    <sheet name="SEA" sheetId="4" r:id="rId2"/>
    <sheet name="Fish Consumption" sheetId="5" r:id="rId3"/>
    <sheet name="Kebocoran Sampah Plastik" sheetId="3" r:id="rId4"/>
    <sheet name="Top 10" sheetId="6" r:id="rId5"/>
    <sheet name="Category Item" sheetId="7" r:id="rId6"/>
    <sheet name="Keterangan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  <c r="B4" i="7"/>
  <c r="B3" i="7"/>
  <c r="B2" i="7"/>
  <c r="D12" i="6"/>
  <c r="E4" i="6" s="1"/>
  <c r="E11" i="6"/>
  <c r="E10" i="6"/>
  <c r="E9" i="6"/>
  <c r="E8" i="6"/>
  <c r="E7" i="6"/>
  <c r="E6" i="6"/>
  <c r="E5" i="6"/>
  <c r="C2" i="7" l="1"/>
  <c r="E2" i="6"/>
  <c r="C3" i="7"/>
  <c r="E3" i="6"/>
  <c r="C4" i="7"/>
  <c r="C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tc={55DE70A6-1F6E-41AB-8C21-EA5CC95C84E1}</author>
  </authors>
  <commentList>
    <comment ref="G9" authorId="0" shapeId="0" xr:uid="{55DE70A6-1F6E-41AB-8C21-EA5CC95C84E1}">
      <text>
        <t>[Threaded comment]
Your version of Excel allows you to read this threaded comment; however, any edits to it will get removed if the file is opened in a newer version of Excel. Learn more: https://go.microsoft.com/fwlink/?linkid=870924
Comment:
     Timbulan Sampah: jumlah sampah yang dihasilkan dari sumber domestik dan non domestik</t>
      </text>
    </comment>
  </commentList>
</comments>
</file>

<file path=xl/sharedStrings.xml><?xml version="1.0" encoding="utf-8"?>
<sst xmlns="http://schemas.openxmlformats.org/spreadsheetml/2006/main" count="122" uniqueCount="71">
  <si>
    <t>Country</t>
  </si>
  <si>
    <t>Ocean Trash Index</t>
  </si>
  <si>
    <t>Fish Production</t>
  </si>
  <si>
    <t>Bangladesh</t>
  </si>
  <si>
    <t>Brunei</t>
  </si>
  <si>
    <t>Cambodia</t>
  </si>
  <si>
    <t>China</t>
  </si>
  <si>
    <t>India</t>
  </si>
  <si>
    <t>Indonesia</t>
  </si>
  <si>
    <t>Israel</t>
  </si>
  <si>
    <t>Japan</t>
  </si>
  <si>
    <t>Malaysia</t>
  </si>
  <si>
    <t>Maldives</t>
  </si>
  <si>
    <t>Pakistan</t>
  </si>
  <si>
    <t>Saudi Arabia</t>
  </si>
  <si>
    <t>Singapore</t>
  </si>
  <si>
    <t>Sri Lanka</t>
  </si>
  <si>
    <t>Thailand</t>
  </si>
  <si>
    <t>Philippines</t>
  </si>
  <si>
    <t>United Arab Emirates</t>
  </si>
  <si>
    <t>Vietnam</t>
  </si>
  <si>
    <t>The Impact of Plastic Consumption per Capita and Ocean Trash on Fish Production Across Several Asian Countries (2023)</t>
  </si>
  <si>
    <t>Myanmar</t>
  </si>
  <si>
    <t>ICCAnnualReport2024_Digital.pdf</t>
  </si>
  <si>
    <t>Ocean Trash Index (Total Kilograms) : data tahun 2023</t>
  </si>
  <si>
    <t>Global Fisheries Production Volume Share by Country (Metric Tons)</t>
  </si>
  <si>
    <t xml:space="preserve">Fish Production (metric tons) : data tahun 2023 (estimasi) </t>
  </si>
  <si>
    <t>Yearly Plastic Consumption Per Capita</t>
  </si>
  <si>
    <t>Yearly Plastic Consumption Per Capita (kilograms) : data tahun 2023</t>
  </si>
  <si>
    <t>Clean Water</t>
  </si>
  <si>
    <t>Clean Water (score) : data tahun 2023</t>
  </si>
  <si>
    <t>Ocean Health Index</t>
  </si>
  <si>
    <t xml:space="preserve">Timbulan Sampah </t>
  </si>
  <si>
    <t>Kebocoran Sampah Plastik di Laut (ton)</t>
  </si>
  <si>
    <t>Tahun</t>
  </si>
  <si>
    <t>Sampah Plastik Land-Base</t>
  </si>
  <si>
    <t>Sampah Plastik Sea Base</t>
  </si>
  <si>
    <t>Total Sampah Plastik</t>
  </si>
  <si>
    <t>Laporan Sampah Laut Indonesia</t>
  </si>
  <si>
    <t xml:space="preserve"> </t>
  </si>
  <si>
    <t>Year</t>
  </si>
  <si>
    <t>Fish Consumption (kg/capita)</t>
  </si>
  <si>
    <t>Total Plastic Consumption</t>
  </si>
  <si>
    <t>World Population Review 2023</t>
  </si>
  <si>
    <t>Total Plastic Consumption (tons): data tahun 2023</t>
  </si>
  <si>
    <t>Laos</t>
  </si>
  <si>
    <t>-</t>
  </si>
  <si>
    <t>Kebocoran Sampah Plastik</t>
  </si>
  <si>
    <t>Peringkat</t>
  </si>
  <si>
    <t>Item Collected</t>
  </si>
  <si>
    <t>Category</t>
  </si>
  <si>
    <t>Jumlah (Unit)</t>
  </si>
  <si>
    <t>Persentase per 
Item Collected</t>
  </si>
  <si>
    <t>Jumlah (Unit</t>
  </si>
  <si>
    <t>Persentase per 
Category</t>
  </si>
  <si>
    <t>Cigarette butts</t>
  </si>
  <si>
    <t>Beverage bottles (plastic)</t>
  </si>
  <si>
    <t>Plastic</t>
  </si>
  <si>
    <t>Food wrappers (candy, chips, etc.)</t>
  </si>
  <si>
    <t>Foam</t>
  </si>
  <si>
    <t>Bottle caps (plastic)</t>
  </si>
  <si>
    <t>Paper</t>
  </si>
  <si>
    <t>Grocery bags (plastic)</t>
  </si>
  <si>
    <t>Other bags (plastic)</t>
  </si>
  <si>
    <t>Food containers (foam)</t>
  </si>
  <si>
    <t>Food containers (plastic)</t>
  </si>
  <si>
    <t>Cups, Plates (paper)</t>
  </si>
  <si>
    <t>Straws/stirrers (plastic)</t>
  </si>
  <si>
    <t xml:space="preserve">TOTAL ITEMS REPORTED </t>
  </si>
  <si>
    <t>Ocean Conservation</t>
  </si>
  <si>
    <t>Top Ten Marine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</si>
</sst>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6D7A8"/>
        <bgColor indexed="64"/>
      </patternFill>
    </fill>
    <fill>
      <patternFill patternType="solid">
        <fgColor theme="7"/>
        <bgColor theme="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6" fillId="0" borderId="0" xfId="1"/>
    <xf numFmtId="0" fontId="3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0" fillId="0" borderId="7" xfId="0" applyNumberFormat="1" applyBorder="1"/>
    <xf numFmtId="0" fontId="3" fillId="4" borderId="8" xfId="0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2" fontId="0" fillId="0" borderId="10" xfId="0" applyNumberFormat="1" applyBorder="1"/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" fontId="3" fillId="6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8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4" fontId="8" fillId="0" borderId="1" xfId="0" applyNumberFormat="1" applyFont="1" applyBorder="1"/>
    <xf numFmtId="3" fontId="3" fillId="6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10" fillId="7" borderId="1" xfId="0" applyFont="1" applyFill="1" applyBorder="1" applyAlignment="1">
      <alignment horizontal="center" vertical="center" wrapText="1"/>
    </xf>
    <xf numFmtId="2" fontId="10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vertical="center"/>
    </xf>
    <xf numFmtId="0" fontId="12" fillId="8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/>
    <xf numFmtId="3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/>
    </xf>
    <xf numFmtId="10" fontId="13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4" fillId="0" borderId="14" xfId="0" applyFont="1" applyBorder="1"/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a Aulia" id="{DCB3C5D7-F455-429E-BF1D-881D9B3BC02E}" userId="34f9298686f27f8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DEA6B-2B49-468A-BA55-B3910E058A15}" name="Table1" displayName="Table1" ref="A3:E22" totalsRowShown="0" headerRowDxfId="8" headerRowBorderDxfId="7" tableBorderDxfId="6" totalsRowBorderDxfId="5">
  <autoFilter ref="A3:E22" xr:uid="{113DEA6B-2B49-468A-BA55-B3910E058A15}"/>
  <tableColumns count="5">
    <tableColumn id="1" xr3:uid="{B7C2B9AC-1E17-4187-AE10-837E406E04EE}" name="Country" dataDxfId="4"/>
    <tableColumn id="2" xr3:uid="{B4F0966B-1234-4096-9F24-37A8CAA3CE73}" name="Yearly Plastic Consumption Per Capita" dataDxfId="3"/>
    <tableColumn id="3" xr3:uid="{CE5630FA-9657-4A6D-80AA-09B7DD2D8079}" name="Ocean Trash Index" dataDxfId="2"/>
    <tableColumn id="4" xr3:uid="{7D7733C4-C536-44F3-96DE-4E1FCDDD2075}" name="Fish Production" dataDxfId="1"/>
    <tableColumn id="5" xr3:uid="{F3B7346D-EEBF-48B8-9455-48DE72774BE9}" name="Clean Wa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" dT="2026-04-24T15:34:13.07" personId="{DCB3C5D7-F455-429E-BF1D-881D9B3BC02E}" id="{55DE70A6-1F6E-41AB-8C21-EA5CC95C84E1}">
    <text xml:space="preserve"> Timbulan Sampah: jumlah sampah yang dihasilkan dari sumber domestik dan non domestik</text>
  </threadedComment>
</ThreadedComment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orldpopulationreview.com/country-rankings/plastic-pollution-by-country" TargetMode="External"/><Relationship Id="rId7" Type="http://schemas.openxmlformats.org/officeDocument/2006/relationships/hyperlink" Target="https://oceanconservancy.org/wp-content/uploads/2025/09/ICCAnnualReport_Digital.pdf%20(diolah)" TargetMode="External"/><Relationship Id="rId2" Type="http://schemas.openxmlformats.org/officeDocument/2006/relationships/hyperlink" Target="https://www.reportlinker.com/dataset/745b5e960b21ca05498f4dd4a7e086a4433e3a6b" TargetMode="External"/><Relationship Id="rId1" Type="http://schemas.openxmlformats.org/officeDocument/2006/relationships/hyperlink" Target="https://oceanconservancy.org/wp-content/uploads/2024/09/ICCAnnualReport2024_Digital.pdf" TargetMode="External"/><Relationship Id="rId6" Type="http://schemas.openxmlformats.org/officeDocument/2006/relationships/hyperlink" Target="https://sampahlaut.id/laporan-sampah-laut/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worldpopulationreview.com/country-rankings/plastic-pollution-by-country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oceanhealthindex.org/global-scores/data-download/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B1AC-BBD8-4B1E-92E4-75FAADB5A31F}">
  <dimension ref="A1:E21"/>
  <sheetViews>
    <sheetView zoomScale="73" zoomScaleNormal="85" workbookViewId="0">
      <selection activeCell="A19" activeCellId="5" sqref="A3:E4 A7:E7 A10:E10 A14:E14 A16:E17 A19:E21"/>
    </sheetView>
  </sheetViews>
  <sheetFormatPr defaultRowHeight="14.5" x14ac:dyDescent="0.35"/>
  <cols>
    <col min="1" max="1" width="18.7265625" bestFit="1" customWidth="1"/>
    <col min="2" max="2" width="33" bestFit="1" customWidth="1"/>
    <col min="3" max="3" width="16.54296875" bestFit="1" customWidth="1"/>
    <col min="4" max="4" width="14.26953125" bestFit="1" customWidth="1"/>
    <col min="5" max="5" width="23.36328125" bestFit="1" customWidth="1"/>
  </cols>
  <sheetData>
    <row r="1" spans="1:5" x14ac:dyDescent="0.35">
      <c r="A1" s="24" t="s">
        <v>0</v>
      </c>
      <c r="B1" s="23" t="s">
        <v>27</v>
      </c>
      <c r="C1" s="23" t="s">
        <v>1</v>
      </c>
      <c r="D1" s="23" t="s">
        <v>2</v>
      </c>
      <c r="E1" s="23" t="s">
        <v>42</v>
      </c>
    </row>
    <row r="2" spans="1:5" x14ac:dyDescent="0.35">
      <c r="A2" s="4" t="s">
        <v>3</v>
      </c>
      <c r="B2" s="20">
        <v>3.5</v>
      </c>
      <c r="C2" s="21">
        <v>9321</v>
      </c>
      <c r="D2" s="22">
        <v>4880744</v>
      </c>
      <c r="E2" s="29">
        <v>579900</v>
      </c>
    </row>
    <row r="3" spans="1:5" x14ac:dyDescent="0.35">
      <c r="A3" s="8" t="s">
        <v>4</v>
      </c>
      <c r="B3" s="5">
        <v>78.3</v>
      </c>
      <c r="C3" s="6">
        <v>1889</v>
      </c>
      <c r="D3" s="7">
        <v>22370.45</v>
      </c>
      <c r="E3" s="30">
        <v>34600</v>
      </c>
    </row>
    <row r="4" spans="1:5" x14ac:dyDescent="0.35">
      <c r="A4" s="8" t="s">
        <v>5</v>
      </c>
      <c r="B4" s="20">
        <v>5.7</v>
      </c>
      <c r="C4" s="21">
        <v>862</v>
      </c>
      <c r="D4" s="22">
        <v>892752</v>
      </c>
      <c r="E4" s="29">
        <v>93700</v>
      </c>
    </row>
    <row r="5" spans="1:5" x14ac:dyDescent="0.35">
      <c r="A5" s="4" t="s">
        <v>6</v>
      </c>
      <c r="B5" s="5">
        <v>26.7</v>
      </c>
      <c r="C5" s="6">
        <v>19645</v>
      </c>
      <c r="D5" s="7">
        <v>89662525</v>
      </c>
      <c r="E5" s="30">
        <v>37600000</v>
      </c>
    </row>
    <row r="6" spans="1:5" x14ac:dyDescent="0.35">
      <c r="A6" s="4" t="s">
        <v>7</v>
      </c>
      <c r="B6" s="20">
        <v>5.3</v>
      </c>
      <c r="C6" s="21">
        <v>2544</v>
      </c>
      <c r="D6" s="22">
        <v>15633898</v>
      </c>
      <c r="E6" s="29">
        <v>7400000</v>
      </c>
    </row>
    <row r="7" spans="1:5" x14ac:dyDescent="0.35">
      <c r="A7" s="8" t="s">
        <v>8</v>
      </c>
      <c r="B7" s="5">
        <v>12.4</v>
      </c>
      <c r="C7" s="6">
        <v>12598</v>
      </c>
      <c r="D7" s="7">
        <v>21249690</v>
      </c>
      <c r="E7" s="30">
        <v>3400000</v>
      </c>
    </row>
    <row r="8" spans="1:5" x14ac:dyDescent="0.35">
      <c r="A8" s="4" t="s">
        <v>9</v>
      </c>
      <c r="B8" s="20">
        <v>105.5</v>
      </c>
      <c r="C8" s="21">
        <v>489</v>
      </c>
      <c r="D8" s="22">
        <v>16201.4</v>
      </c>
      <c r="E8" s="29">
        <v>972000</v>
      </c>
    </row>
    <row r="9" spans="1:5" x14ac:dyDescent="0.35">
      <c r="A9" s="4" t="s">
        <v>10</v>
      </c>
      <c r="B9" s="5">
        <v>30.2</v>
      </c>
      <c r="C9" s="6">
        <v>12475</v>
      </c>
      <c r="D9" s="7">
        <v>3987038</v>
      </c>
      <c r="E9" s="30">
        <v>3800000</v>
      </c>
    </row>
    <row r="10" spans="1:5" x14ac:dyDescent="0.35">
      <c r="A10" s="8" t="s">
        <v>11</v>
      </c>
      <c r="B10" s="20">
        <v>41.3</v>
      </c>
      <c r="C10" s="21">
        <v>48346</v>
      </c>
      <c r="D10" s="22">
        <v>1787174</v>
      </c>
      <c r="E10" s="29">
        <v>1400000</v>
      </c>
    </row>
    <row r="11" spans="1:5" x14ac:dyDescent="0.35">
      <c r="A11" s="4" t="s">
        <v>12</v>
      </c>
      <c r="B11" s="5">
        <v>12.3</v>
      </c>
      <c r="C11" s="6">
        <v>71</v>
      </c>
      <c r="D11" s="7">
        <v>155876</v>
      </c>
      <c r="E11" s="30">
        <v>6300</v>
      </c>
    </row>
    <row r="12" spans="1:5" x14ac:dyDescent="0.35">
      <c r="A12" s="4" t="s">
        <v>13</v>
      </c>
      <c r="B12" s="20">
        <v>3.5</v>
      </c>
      <c r="C12" s="21">
        <v>65</v>
      </c>
      <c r="D12" s="22">
        <v>672141.4</v>
      </c>
      <c r="E12" s="29">
        <v>790100</v>
      </c>
    </row>
    <row r="13" spans="1:5" x14ac:dyDescent="0.35">
      <c r="A13" s="4" t="s">
        <v>14</v>
      </c>
      <c r="B13" s="5">
        <v>58.5</v>
      </c>
      <c r="C13" s="6">
        <v>332</v>
      </c>
      <c r="D13" s="7">
        <v>216080.5</v>
      </c>
      <c r="E13" s="30">
        <v>2100000</v>
      </c>
    </row>
    <row r="14" spans="1:5" x14ac:dyDescent="0.35">
      <c r="A14" s="8" t="s">
        <v>15</v>
      </c>
      <c r="B14" s="20">
        <v>104.4</v>
      </c>
      <c r="C14" s="21">
        <v>2664</v>
      </c>
      <c r="D14" s="22">
        <v>7095.95</v>
      </c>
      <c r="E14" s="29">
        <v>593900</v>
      </c>
    </row>
    <row r="15" spans="1:5" x14ac:dyDescent="0.35">
      <c r="A15" s="4" t="s">
        <v>16</v>
      </c>
      <c r="B15" s="5">
        <v>8.4</v>
      </c>
      <c r="C15" s="6">
        <v>11420</v>
      </c>
      <c r="D15" s="7">
        <v>519706.3</v>
      </c>
      <c r="E15" s="30">
        <v>184200</v>
      </c>
    </row>
    <row r="16" spans="1:5" x14ac:dyDescent="0.35">
      <c r="A16" s="8" t="s">
        <v>17</v>
      </c>
      <c r="B16" s="20">
        <v>46.9</v>
      </c>
      <c r="C16" s="21">
        <v>22248</v>
      </c>
      <c r="D16" s="22">
        <v>2308267</v>
      </c>
      <c r="E16" s="29">
        <v>3400000</v>
      </c>
    </row>
    <row r="17" spans="1:5" x14ac:dyDescent="0.35">
      <c r="A17" s="8" t="s">
        <v>18</v>
      </c>
      <c r="B17" s="5">
        <v>8.4</v>
      </c>
      <c r="C17" s="6">
        <v>444869</v>
      </c>
      <c r="D17" s="7">
        <v>4014862</v>
      </c>
      <c r="E17" s="30">
        <v>938200</v>
      </c>
    </row>
    <row r="18" spans="1:5" x14ac:dyDescent="0.35">
      <c r="A18" s="4" t="s">
        <v>19</v>
      </c>
      <c r="B18" s="20">
        <v>116.3</v>
      </c>
      <c r="C18" s="21">
        <v>4603</v>
      </c>
      <c r="D18" s="22">
        <v>61847.59</v>
      </c>
      <c r="E18" s="29">
        <v>1100000</v>
      </c>
    </row>
    <row r="19" spans="1:5" x14ac:dyDescent="0.35">
      <c r="A19" s="8" t="s">
        <v>20</v>
      </c>
      <c r="B19" s="5">
        <v>30.5</v>
      </c>
      <c r="C19" s="6">
        <v>2501</v>
      </c>
      <c r="D19" s="7">
        <v>8786589</v>
      </c>
      <c r="E19" s="30">
        <v>3000000</v>
      </c>
    </row>
    <row r="20" spans="1:5" x14ac:dyDescent="0.35">
      <c r="A20" s="8" t="s">
        <v>22</v>
      </c>
      <c r="B20" s="20">
        <v>9.3000000000000007</v>
      </c>
      <c r="C20" s="21">
        <v>0.5</v>
      </c>
      <c r="D20" s="22">
        <v>2215443</v>
      </c>
      <c r="E20" s="29">
        <v>498400</v>
      </c>
    </row>
    <row r="21" spans="1:5" x14ac:dyDescent="0.35">
      <c r="A21" s="31" t="s">
        <v>45</v>
      </c>
      <c r="B21" s="33">
        <v>2.9</v>
      </c>
      <c r="C21" s="35" t="s">
        <v>46</v>
      </c>
      <c r="D21" s="34">
        <v>213150</v>
      </c>
      <c r="E21" s="32">
        <v>21500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65B5-E4DF-4A29-A783-539B1BDA0CAD}">
  <dimension ref="A1:E11"/>
  <sheetViews>
    <sheetView workbookViewId="0">
      <selection activeCell="C15" sqref="C15"/>
    </sheetView>
  </sheetViews>
  <sheetFormatPr defaultRowHeight="14.5" x14ac:dyDescent="0.35"/>
  <cols>
    <col min="1" max="1" width="9.81640625" bestFit="1" customWidth="1"/>
    <col min="3" max="3" width="16.36328125" bestFit="1" customWidth="1"/>
    <col min="4" max="4" width="13.90625" bestFit="1" customWidth="1"/>
    <col min="5" max="5" width="22.90625" bestFit="1" customWidth="1"/>
  </cols>
  <sheetData>
    <row r="1" spans="1:5" x14ac:dyDescent="0.35">
      <c r="A1" s="24" t="s">
        <v>0</v>
      </c>
      <c r="B1" s="23" t="s">
        <v>27</v>
      </c>
      <c r="C1" s="23" t="s">
        <v>1</v>
      </c>
      <c r="D1" s="23" t="s">
        <v>2</v>
      </c>
      <c r="E1" s="23" t="s">
        <v>42</v>
      </c>
    </row>
    <row r="2" spans="1:5" x14ac:dyDescent="0.35">
      <c r="A2" s="8" t="s">
        <v>4</v>
      </c>
      <c r="B2" s="5">
        <v>78.3</v>
      </c>
      <c r="C2" s="6">
        <v>1889</v>
      </c>
      <c r="D2" s="7">
        <v>22370.45</v>
      </c>
      <c r="E2" s="30">
        <v>34600</v>
      </c>
    </row>
    <row r="3" spans="1:5" x14ac:dyDescent="0.35">
      <c r="A3" s="8" t="s">
        <v>5</v>
      </c>
      <c r="B3" s="20">
        <v>5.7</v>
      </c>
      <c r="C3" s="21">
        <v>862</v>
      </c>
      <c r="D3" s="22">
        <v>892752</v>
      </c>
      <c r="E3" s="29">
        <v>93700</v>
      </c>
    </row>
    <row r="4" spans="1:5" x14ac:dyDescent="0.35">
      <c r="A4" s="8" t="s">
        <v>8</v>
      </c>
      <c r="B4" s="5">
        <v>12.4</v>
      </c>
      <c r="C4" s="6">
        <v>12598</v>
      </c>
      <c r="D4" s="7">
        <v>21249690</v>
      </c>
      <c r="E4" s="30">
        <v>3400000</v>
      </c>
    </row>
    <row r="5" spans="1:5" x14ac:dyDescent="0.35">
      <c r="A5" s="8" t="s">
        <v>11</v>
      </c>
      <c r="B5" s="20">
        <v>41.3</v>
      </c>
      <c r="C5" s="21">
        <v>48346</v>
      </c>
      <c r="D5" s="22">
        <v>1787174</v>
      </c>
      <c r="E5" s="29">
        <v>1400000</v>
      </c>
    </row>
    <row r="6" spans="1:5" x14ac:dyDescent="0.35">
      <c r="A6" s="8" t="s">
        <v>15</v>
      </c>
      <c r="B6" s="20">
        <v>104.4</v>
      </c>
      <c r="C6" s="21">
        <v>2664</v>
      </c>
      <c r="D6" s="22">
        <v>7095.95</v>
      </c>
      <c r="E6" s="29">
        <v>593900</v>
      </c>
    </row>
    <row r="7" spans="1:5" x14ac:dyDescent="0.35">
      <c r="A7" s="8" t="s">
        <v>17</v>
      </c>
      <c r="B7" s="20">
        <v>46.9</v>
      </c>
      <c r="C7" s="21">
        <v>22248</v>
      </c>
      <c r="D7" s="22">
        <v>2308267</v>
      </c>
      <c r="E7" s="29">
        <v>3400000</v>
      </c>
    </row>
    <row r="8" spans="1:5" x14ac:dyDescent="0.35">
      <c r="A8" s="8" t="s">
        <v>18</v>
      </c>
      <c r="B8" s="5">
        <v>8.4</v>
      </c>
      <c r="C8" s="6">
        <v>444869</v>
      </c>
      <c r="D8" s="7">
        <v>4014862</v>
      </c>
      <c r="E8" s="30">
        <v>938200</v>
      </c>
    </row>
    <row r="9" spans="1:5" x14ac:dyDescent="0.35">
      <c r="A9" s="8" t="s">
        <v>20</v>
      </c>
      <c r="B9" s="5">
        <v>30.5</v>
      </c>
      <c r="C9" s="6">
        <v>2501</v>
      </c>
      <c r="D9" s="7">
        <v>8786589</v>
      </c>
      <c r="E9" s="30">
        <v>3000000</v>
      </c>
    </row>
    <row r="10" spans="1:5" x14ac:dyDescent="0.35">
      <c r="A10" s="8" t="s">
        <v>22</v>
      </c>
      <c r="B10" s="20">
        <v>9.3000000000000007</v>
      </c>
      <c r="C10" s="21">
        <v>0.5</v>
      </c>
      <c r="D10" s="22">
        <v>2215443</v>
      </c>
      <c r="E10" s="29">
        <v>498400</v>
      </c>
    </row>
    <row r="11" spans="1:5" x14ac:dyDescent="0.35">
      <c r="A11" s="31" t="s">
        <v>45</v>
      </c>
      <c r="B11" s="33">
        <v>2.9</v>
      </c>
      <c r="C11" s="35" t="s">
        <v>46</v>
      </c>
      <c r="D11" s="34">
        <v>213150</v>
      </c>
      <c r="E11" s="32">
        <v>21500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030F-4D0F-4D3B-873A-610B1D4D11AA}">
  <dimension ref="A1:B29"/>
  <sheetViews>
    <sheetView topLeftCell="A19" workbookViewId="0">
      <selection activeCell="D30" sqref="D30"/>
    </sheetView>
  </sheetViews>
  <sheetFormatPr defaultRowHeight="14.5" x14ac:dyDescent="0.35"/>
  <cols>
    <col min="2" max="2" width="12.453125" style="36" customWidth="1"/>
  </cols>
  <sheetData>
    <row r="1" spans="1:2" ht="43.5" x14ac:dyDescent="0.35">
      <c r="A1" s="37" t="s">
        <v>40</v>
      </c>
      <c r="B1" s="38" t="s">
        <v>41</v>
      </c>
    </row>
    <row r="2" spans="1:2" x14ac:dyDescent="0.35">
      <c r="A2" s="39">
        <v>2000</v>
      </c>
      <c r="B2" s="40">
        <v>21.57</v>
      </c>
    </row>
    <row r="3" spans="1:2" x14ac:dyDescent="0.35">
      <c r="A3" s="39">
        <v>2001</v>
      </c>
      <c r="B3" s="40">
        <v>22.47</v>
      </c>
    </row>
    <row r="4" spans="1:2" x14ac:dyDescent="0.35">
      <c r="A4" s="39">
        <v>2002</v>
      </c>
      <c r="B4" s="40">
        <v>22.79</v>
      </c>
    </row>
    <row r="5" spans="1:2" x14ac:dyDescent="0.35">
      <c r="A5" s="39">
        <v>2003</v>
      </c>
      <c r="B5" s="40">
        <v>22.36</v>
      </c>
    </row>
    <row r="6" spans="1:2" x14ac:dyDescent="0.35">
      <c r="A6" s="39">
        <v>2004</v>
      </c>
      <c r="B6" s="40">
        <v>22.58</v>
      </c>
    </row>
    <row r="7" spans="1:2" x14ac:dyDescent="0.35">
      <c r="A7" s="39">
        <v>2005</v>
      </c>
      <c r="B7" s="40">
        <v>23.95</v>
      </c>
    </row>
    <row r="8" spans="1:2" x14ac:dyDescent="0.35">
      <c r="A8" s="39">
        <v>2006</v>
      </c>
      <c r="B8" s="40">
        <v>25.94</v>
      </c>
    </row>
    <row r="9" spans="1:2" x14ac:dyDescent="0.35">
      <c r="A9" s="39">
        <v>2007</v>
      </c>
      <c r="B9" s="40">
        <v>27.89</v>
      </c>
    </row>
    <row r="10" spans="1:2" x14ac:dyDescent="0.35">
      <c r="A10" s="39">
        <v>2008</v>
      </c>
      <c r="B10" s="40">
        <v>28.28</v>
      </c>
    </row>
    <row r="11" spans="1:2" x14ac:dyDescent="0.35">
      <c r="A11" s="39">
        <v>2009</v>
      </c>
      <c r="B11" s="40">
        <v>29.08</v>
      </c>
    </row>
    <row r="12" spans="1:2" x14ac:dyDescent="0.35">
      <c r="A12" s="39">
        <v>2010</v>
      </c>
      <c r="B12" s="40">
        <v>30.47</v>
      </c>
    </row>
    <row r="13" spans="1:2" x14ac:dyDescent="0.35">
      <c r="A13" s="39">
        <v>2011</v>
      </c>
      <c r="B13" s="40">
        <v>32.25</v>
      </c>
    </row>
    <row r="14" spans="1:2" x14ac:dyDescent="0.35">
      <c r="A14" s="39">
        <v>2012</v>
      </c>
      <c r="B14" s="40">
        <v>33.89</v>
      </c>
    </row>
    <row r="15" spans="1:2" x14ac:dyDescent="0.35">
      <c r="A15" s="39">
        <v>2013</v>
      </c>
      <c r="B15" s="40">
        <v>35.21</v>
      </c>
    </row>
    <row r="16" spans="1:2" x14ac:dyDescent="0.35">
      <c r="A16" s="39">
        <v>2014</v>
      </c>
      <c r="B16" s="40">
        <v>38.14</v>
      </c>
    </row>
    <row r="17" spans="1:2" x14ac:dyDescent="0.35">
      <c r="A17" s="39">
        <v>2015</v>
      </c>
      <c r="B17" s="40">
        <v>41.11</v>
      </c>
    </row>
    <row r="18" spans="1:2" x14ac:dyDescent="0.35">
      <c r="A18" s="39">
        <v>2016</v>
      </c>
      <c r="B18" s="40">
        <v>43.94</v>
      </c>
    </row>
    <row r="19" spans="1:2" x14ac:dyDescent="0.35">
      <c r="A19" s="39">
        <v>2017</v>
      </c>
      <c r="B19" s="40">
        <v>47.34</v>
      </c>
    </row>
    <row r="20" spans="1:2" x14ac:dyDescent="0.35">
      <c r="A20" s="39">
        <v>2018</v>
      </c>
      <c r="B20" s="40">
        <v>50.69</v>
      </c>
    </row>
    <row r="21" spans="1:2" x14ac:dyDescent="0.35">
      <c r="A21" s="39">
        <v>2019</v>
      </c>
      <c r="B21" s="40">
        <v>54.5</v>
      </c>
    </row>
    <row r="22" spans="1:2" x14ac:dyDescent="0.35">
      <c r="A22" s="39">
        <v>2020</v>
      </c>
      <c r="B22" s="40">
        <v>54.56</v>
      </c>
    </row>
    <row r="23" spans="1:2" x14ac:dyDescent="0.35">
      <c r="A23" s="39">
        <v>2021</v>
      </c>
      <c r="B23" s="40">
        <v>55.16</v>
      </c>
    </row>
    <row r="24" spans="1:2" x14ac:dyDescent="0.35">
      <c r="A24" s="39">
        <v>2022</v>
      </c>
      <c r="B24" s="40">
        <v>52.27</v>
      </c>
    </row>
    <row r="25" spans="1:2" x14ac:dyDescent="0.35">
      <c r="A25" s="39">
        <v>2023</v>
      </c>
      <c r="B25" s="40">
        <v>57.91</v>
      </c>
    </row>
    <row r="26" spans="1:2" x14ac:dyDescent="0.35">
      <c r="A26" s="39">
        <v>2024</v>
      </c>
      <c r="B26" s="40">
        <v>58.91</v>
      </c>
    </row>
    <row r="27" spans="1:2" x14ac:dyDescent="0.35">
      <c r="A27" s="39">
        <v>2025</v>
      </c>
      <c r="B27" s="40">
        <v>60.609450000000002</v>
      </c>
    </row>
    <row r="28" spans="1:2" x14ac:dyDescent="0.35">
      <c r="A28" s="39">
        <v>2026</v>
      </c>
      <c r="B28" s="40">
        <v>62.300429999999999</v>
      </c>
    </row>
    <row r="29" spans="1:2" x14ac:dyDescent="0.35">
      <c r="A29" s="39">
        <v>2027</v>
      </c>
      <c r="B29" s="40">
        <v>63.991399999999999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BFD9-F955-405B-8444-758498DB596C}">
  <dimension ref="A1:G7"/>
  <sheetViews>
    <sheetView zoomScale="64" workbookViewId="0">
      <selection activeCell="E9" sqref="E9"/>
    </sheetView>
  </sheetViews>
  <sheetFormatPr defaultRowHeight="14.5" x14ac:dyDescent="0.35"/>
  <cols>
    <col min="2" max="2" width="22.54296875" bestFit="1" customWidth="1"/>
    <col min="3" max="3" width="21.26953125" bestFit="1" customWidth="1"/>
    <col min="4" max="4" width="18.1796875" bestFit="1" customWidth="1"/>
  </cols>
  <sheetData>
    <row r="1" spans="1:7" x14ac:dyDescent="0.35">
      <c r="A1" t="s">
        <v>33</v>
      </c>
    </row>
    <row r="2" spans="1:7" x14ac:dyDescent="0.35">
      <c r="A2" s="26" t="s">
        <v>34</v>
      </c>
      <c r="B2" s="26" t="s">
        <v>35</v>
      </c>
      <c r="C2" s="26" t="s">
        <v>36</v>
      </c>
      <c r="D2" s="26" t="s">
        <v>37</v>
      </c>
    </row>
    <row r="3" spans="1:7" x14ac:dyDescent="0.35">
      <c r="A3" s="27">
        <v>2018</v>
      </c>
      <c r="B3" s="28">
        <v>538182.77</v>
      </c>
      <c r="C3" s="28">
        <v>77491.86</v>
      </c>
      <c r="D3" s="28">
        <v>615674.63</v>
      </c>
      <c r="G3" s="25"/>
    </row>
    <row r="4" spans="1:7" x14ac:dyDescent="0.35">
      <c r="A4" s="27">
        <v>2019</v>
      </c>
      <c r="B4" s="28">
        <v>518357.16</v>
      </c>
      <c r="C4" s="28">
        <v>47717.78</v>
      </c>
      <c r="D4" s="28">
        <v>566074.93999999994</v>
      </c>
      <c r="G4" s="25"/>
    </row>
    <row r="5" spans="1:7" x14ac:dyDescent="0.35">
      <c r="A5" s="27">
        <v>2020</v>
      </c>
      <c r="B5" s="28">
        <v>508755.7</v>
      </c>
      <c r="C5" s="28">
        <v>12784.97</v>
      </c>
      <c r="D5" s="28">
        <v>521540.67</v>
      </c>
      <c r="G5" s="25"/>
    </row>
    <row r="6" spans="1:7" x14ac:dyDescent="0.35">
      <c r="A6" s="27">
        <v>2021</v>
      </c>
      <c r="B6" s="28">
        <v>407217.62</v>
      </c>
      <c r="C6" s="28">
        <v>32889.08</v>
      </c>
      <c r="D6" s="28">
        <v>440106.7</v>
      </c>
      <c r="G6" s="25"/>
    </row>
    <row r="7" spans="1:7" x14ac:dyDescent="0.35">
      <c r="A7" s="27">
        <v>2022</v>
      </c>
      <c r="B7" s="28">
        <v>309625.52</v>
      </c>
      <c r="C7" s="28">
        <v>88374.63</v>
      </c>
      <c r="D7" s="28">
        <v>398000.15</v>
      </c>
      <c r="G7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1333-E178-4570-81FC-C6B2C82C25A5}">
  <dimension ref="A1:I14"/>
  <sheetViews>
    <sheetView tabSelected="1" workbookViewId="0">
      <selection activeCell="H16" sqref="H16"/>
    </sheetView>
  </sheetViews>
  <sheetFormatPr defaultRowHeight="14.5" x14ac:dyDescent="0.35"/>
  <cols>
    <col min="2" max="2" width="27.81640625" bestFit="1" customWidth="1"/>
    <col min="3" max="3" width="8.1796875" bestFit="1" customWidth="1"/>
    <col min="4" max="4" width="11.7265625" bestFit="1" customWidth="1"/>
    <col min="5" max="5" width="26.26953125" bestFit="1" customWidth="1"/>
    <col min="7" max="7" width="12.26953125" bestFit="1" customWidth="1"/>
    <col min="8" max="8" width="11.1796875" bestFit="1" customWidth="1"/>
    <col min="9" max="9" width="22.1796875" bestFit="1" customWidth="1"/>
  </cols>
  <sheetData>
    <row r="1" spans="1:9" x14ac:dyDescent="0.35">
      <c r="A1" s="42" t="s">
        <v>48</v>
      </c>
      <c r="B1" s="42" t="s">
        <v>49</v>
      </c>
      <c r="C1" s="42" t="s">
        <v>50</v>
      </c>
      <c r="D1" s="42" t="s">
        <v>51</v>
      </c>
      <c r="E1" s="42" t="s">
        <v>52</v>
      </c>
      <c r="F1" s="41"/>
    </row>
    <row r="2" spans="1:9" x14ac:dyDescent="0.35">
      <c r="A2" s="43">
        <v>1</v>
      </c>
      <c r="B2" s="44" t="s">
        <v>55</v>
      </c>
      <c r="C2" s="45"/>
      <c r="D2" s="46">
        <v>25</v>
      </c>
      <c r="E2" s="47">
        <f t="shared" ref="E2:E11" si="0">(D2/$D$12)</f>
        <v>4.370629370629371E-3</v>
      </c>
      <c r="F2" s="41"/>
    </row>
    <row r="3" spans="1:9" x14ac:dyDescent="0.35">
      <c r="A3" s="43">
        <v>2</v>
      </c>
      <c r="B3" s="44" t="s">
        <v>56</v>
      </c>
      <c r="C3" s="43" t="s">
        <v>57</v>
      </c>
      <c r="D3" s="46">
        <v>395</v>
      </c>
      <c r="E3" s="47">
        <f t="shared" si="0"/>
        <v>6.9055944055944049E-2</v>
      </c>
      <c r="F3" s="41"/>
    </row>
    <row r="4" spans="1:9" x14ac:dyDescent="0.35">
      <c r="A4" s="43">
        <v>3</v>
      </c>
      <c r="B4" s="44" t="s">
        <v>58</v>
      </c>
      <c r="C4" s="43" t="s">
        <v>57</v>
      </c>
      <c r="D4" s="46">
        <v>2025</v>
      </c>
      <c r="E4" s="47">
        <f t="shared" si="0"/>
        <v>0.35402097902097901</v>
      </c>
      <c r="F4" s="41"/>
    </row>
    <row r="5" spans="1:9" x14ac:dyDescent="0.35">
      <c r="A5" s="43">
        <v>4</v>
      </c>
      <c r="B5" s="44" t="s">
        <v>60</v>
      </c>
      <c r="C5" s="43" t="s">
        <v>57</v>
      </c>
      <c r="D5" s="46">
        <v>177</v>
      </c>
      <c r="E5" s="47">
        <f t="shared" si="0"/>
        <v>3.0944055944055943E-2</v>
      </c>
      <c r="F5" s="41"/>
    </row>
    <row r="6" spans="1:9" x14ac:dyDescent="0.35">
      <c r="A6" s="43">
        <v>5</v>
      </c>
      <c r="B6" s="44" t="s">
        <v>62</v>
      </c>
      <c r="C6" s="43" t="s">
        <v>57</v>
      </c>
      <c r="D6" s="46">
        <v>937</v>
      </c>
      <c r="E6" s="47">
        <f t="shared" si="0"/>
        <v>0.16381118881118881</v>
      </c>
      <c r="F6" s="41"/>
      <c r="G6" s="41"/>
      <c r="H6" s="41"/>
      <c r="I6" s="41"/>
    </row>
    <row r="7" spans="1:9" x14ac:dyDescent="0.35">
      <c r="A7" s="43">
        <v>6</v>
      </c>
      <c r="B7" s="44" t="s">
        <v>63</v>
      </c>
      <c r="C7" s="45" t="s">
        <v>57</v>
      </c>
      <c r="D7" s="46">
        <v>1583</v>
      </c>
      <c r="E7" s="47">
        <f t="shared" si="0"/>
        <v>0.27674825174825174</v>
      </c>
      <c r="F7" s="41"/>
      <c r="G7" s="41"/>
      <c r="H7" s="41"/>
      <c r="I7" s="41"/>
    </row>
    <row r="8" spans="1:9" x14ac:dyDescent="0.35">
      <c r="A8" s="43">
        <v>7</v>
      </c>
      <c r="B8" s="44" t="s">
        <v>64</v>
      </c>
      <c r="C8" s="43" t="s">
        <v>59</v>
      </c>
      <c r="D8" s="46">
        <v>65</v>
      </c>
      <c r="E8" s="47">
        <f t="shared" si="0"/>
        <v>1.1363636363636364E-2</v>
      </c>
      <c r="F8" s="41"/>
      <c r="G8" s="41"/>
      <c r="H8" s="41"/>
      <c r="I8" s="41"/>
    </row>
    <row r="9" spans="1:9" x14ac:dyDescent="0.35">
      <c r="A9" s="43">
        <v>8</v>
      </c>
      <c r="B9" s="44" t="s">
        <v>65</v>
      </c>
      <c r="C9" s="43" t="s">
        <v>57</v>
      </c>
      <c r="D9" s="46">
        <v>182</v>
      </c>
      <c r="E9" s="47">
        <f t="shared" si="0"/>
        <v>3.1818181818181815E-2</v>
      </c>
      <c r="F9" s="41"/>
      <c r="G9" s="41"/>
      <c r="H9" s="41"/>
      <c r="I9" s="41"/>
    </row>
    <row r="10" spans="1:9" x14ac:dyDescent="0.35">
      <c r="A10" s="43">
        <v>9</v>
      </c>
      <c r="B10" s="44" t="s">
        <v>66</v>
      </c>
      <c r="C10" s="45" t="s">
        <v>61</v>
      </c>
      <c r="D10" s="46">
        <v>13</v>
      </c>
      <c r="E10" s="47">
        <f t="shared" si="0"/>
        <v>2.2727272727272726E-3</v>
      </c>
      <c r="F10" s="41"/>
      <c r="G10" s="41"/>
      <c r="H10" s="41"/>
      <c r="I10" s="41"/>
    </row>
    <row r="11" spans="1:9" x14ac:dyDescent="0.35">
      <c r="A11" s="43">
        <v>10</v>
      </c>
      <c r="B11" s="44" t="s">
        <v>67</v>
      </c>
      <c r="C11" s="43" t="s">
        <v>57</v>
      </c>
      <c r="D11" s="46">
        <v>318</v>
      </c>
      <c r="E11" s="47">
        <f t="shared" si="0"/>
        <v>5.5594405594405594E-2</v>
      </c>
      <c r="F11" s="41"/>
      <c r="G11" s="41"/>
      <c r="H11" s="41"/>
      <c r="I11" s="41"/>
    </row>
    <row r="12" spans="1:9" x14ac:dyDescent="0.35">
      <c r="A12" s="51" t="s">
        <v>68</v>
      </c>
      <c r="B12" s="52"/>
      <c r="C12" s="49"/>
      <c r="D12" s="50">
        <f>SUM(D2:D11)</f>
        <v>5720</v>
      </c>
      <c r="E12" s="48"/>
      <c r="F12" s="41"/>
      <c r="G12" s="41"/>
      <c r="H12" s="41"/>
      <c r="I12" s="41"/>
    </row>
    <row r="13" spans="1:9" x14ac:dyDescent="0.35">
      <c r="A13" s="41"/>
      <c r="B13" s="41"/>
      <c r="C13" s="41"/>
      <c r="D13" s="41"/>
      <c r="E13" s="41"/>
      <c r="F13" s="41"/>
      <c r="G13" s="41"/>
      <c r="H13" s="41"/>
      <c r="I13" s="41"/>
    </row>
    <row r="14" spans="1:9" x14ac:dyDescent="0.35">
      <c r="A14" s="41"/>
      <c r="B14" s="41"/>
      <c r="C14" s="41"/>
      <c r="D14" s="41"/>
      <c r="E14" s="41"/>
      <c r="F14" s="41"/>
      <c r="G14" s="41"/>
      <c r="H14" s="41"/>
      <c r="I14" s="41"/>
    </row>
  </sheetData>
  <mergeCells count="1">
    <mergeCell ref="A12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E7D9-9451-41BF-804F-1F5CBC670B2F}">
  <dimension ref="A1:C5"/>
  <sheetViews>
    <sheetView workbookViewId="0">
      <selection sqref="A1:C5"/>
    </sheetView>
  </sheetViews>
  <sheetFormatPr defaultRowHeight="14.5" x14ac:dyDescent="0.35"/>
  <sheetData>
    <row r="1" spans="1:3" x14ac:dyDescent="0.35">
      <c r="A1" s="42" t="s">
        <v>50</v>
      </c>
      <c r="B1" s="42" t="s">
        <v>53</v>
      </c>
      <c r="C1" s="42" t="s">
        <v>54</v>
      </c>
    </row>
    <row r="2" spans="1:3" x14ac:dyDescent="0.35">
      <c r="A2" s="48" t="s">
        <v>55</v>
      </c>
      <c r="B2" s="45">
        <f>'Top 10'!D2</f>
        <v>25</v>
      </c>
      <c r="C2" s="47">
        <f>(B2/'Top 10'!$D$12)</f>
        <v>4.370629370629371E-3</v>
      </c>
    </row>
    <row r="3" spans="1:3" x14ac:dyDescent="0.35">
      <c r="A3" s="48" t="s">
        <v>57</v>
      </c>
      <c r="B3" s="43">
        <f>SUM('Top 10'!D3:D7)+'Top 10'!D9+'Top 10'!D11</f>
        <v>5617</v>
      </c>
      <c r="C3" s="47">
        <f>(B3/'Top 10'!$D$12)</f>
        <v>0.98199300699300696</v>
      </c>
    </row>
    <row r="4" spans="1:3" x14ac:dyDescent="0.35">
      <c r="A4" s="48" t="s">
        <v>59</v>
      </c>
      <c r="B4" s="43">
        <f>'Top 10'!D8</f>
        <v>65</v>
      </c>
      <c r="C4" s="47">
        <f>(B4/'Top 10'!$D$12)</f>
        <v>1.1363636363636364E-2</v>
      </c>
    </row>
    <row r="5" spans="1:3" x14ac:dyDescent="0.35">
      <c r="A5" s="48" t="s">
        <v>61</v>
      </c>
      <c r="B5" s="45">
        <f>'Top 10'!D10</f>
        <v>13</v>
      </c>
      <c r="C5" s="47">
        <f>(B5/'Top 10'!$D$12)</f>
        <v>2.2727272727272726E-3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22ED-5BC6-4398-910F-20D2F71D3161}">
  <dimension ref="A1:H22"/>
  <sheetViews>
    <sheetView zoomScale="68" workbookViewId="0">
      <selection activeCell="G12" sqref="G12"/>
    </sheetView>
  </sheetViews>
  <sheetFormatPr defaultRowHeight="14.5" x14ac:dyDescent="0.35"/>
  <cols>
    <col min="1" max="1" width="18.7265625" bestFit="1" customWidth="1"/>
    <col min="2" max="2" width="34.6328125" customWidth="1"/>
    <col min="3" max="3" width="18.1796875" customWidth="1"/>
    <col min="4" max="4" width="22.08984375" customWidth="1"/>
    <col min="5" max="5" width="19.54296875" customWidth="1"/>
    <col min="7" max="7" width="53.36328125" bestFit="1" customWidth="1"/>
  </cols>
  <sheetData>
    <row r="1" spans="1:8" ht="14.5" customHeight="1" x14ac:dyDescent="0.35">
      <c r="A1" s="53" t="s">
        <v>21</v>
      </c>
      <c r="B1" s="54"/>
      <c r="C1" s="54"/>
      <c r="D1" s="54"/>
      <c r="E1" s="54"/>
    </row>
    <row r="2" spans="1:8" x14ac:dyDescent="0.35">
      <c r="A2" s="53"/>
      <c r="B2" s="54"/>
      <c r="C2" s="54"/>
      <c r="D2" s="54"/>
      <c r="E2" s="54"/>
    </row>
    <row r="3" spans="1:8" x14ac:dyDescent="0.35">
      <c r="A3" s="11" t="s">
        <v>0</v>
      </c>
      <c r="B3" s="12" t="s">
        <v>27</v>
      </c>
      <c r="C3" s="12" t="s">
        <v>1</v>
      </c>
      <c r="D3" s="12" t="s">
        <v>2</v>
      </c>
      <c r="E3" s="13" t="s">
        <v>29</v>
      </c>
      <c r="G3" s="2" t="s">
        <v>39</v>
      </c>
    </row>
    <row r="4" spans="1:8" x14ac:dyDescent="0.35">
      <c r="A4" s="9" t="s">
        <v>3</v>
      </c>
      <c r="B4" s="5">
        <v>3.5</v>
      </c>
      <c r="C4" s="6">
        <v>9321</v>
      </c>
      <c r="D4" s="7">
        <v>4880744</v>
      </c>
      <c r="E4" s="14">
        <v>33.159999999999997</v>
      </c>
      <c r="G4" s="1" t="s">
        <v>24</v>
      </c>
      <c r="H4" s="3" t="s">
        <v>23</v>
      </c>
    </row>
    <row r="5" spans="1:8" x14ac:dyDescent="0.35">
      <c r="A5" s="10" t="s">
        <v>4</v>
      </c>
      <c r="B5" s="5">
        <v>78.3</v>
      </c>
      <c r="C5" s="6">
        <v>1889</v>
      </c>
      <c r="D5" s="7">
        <v>22370.45</v>
      </c>
      <c r="E5" s="14">
        <v>77.5</v>
      </c>
      <c r="G5" s="1" t="s">
        <v>26</v>
      </c>
      <c r="H5" s="3" t="s">
        <v>25</v>
      </c>
    </row>
    <row r="6" spans="1:8" x14ac:dyDescent="0.35">
      <c r="A6" s="10" t="s">
        <v>5</v>
      </c>
      <c r="B6" s="5">
        <v>5.7</v>
      </c>
      <c r="C6" s="6">
        <v>862</v>
      </c>
      <c r="D6" s="7">
        <v>892752</v>
      </c>
      <c r="E6" s="14">
        <v>68.03</v>
      </c>
      <c r="G6" s="1" t="s">
        <v>28</v>
      </c>
      <c r="H6" s="3" t="s">
        <v>43</v>
      </c>
    </row>
    <row r="7" spans="1:8" x14ac:dyDescent="0.35">
      <c r="A7" s="9" t="s">
        <v>6</v>
      </c>
      <c r="B7" s="5">
        <v>26.7</v>
      </c>
      <c r="C7" s="6">
        <v>19645</v>
      </c>
      <c r="D7" s="7">
        <v>89662525</v>
      </c>
      <c r="E7" s="14">
        <v>44.44</v>
      </c>
      <c r="G7" s="1" t="s">
        <v>30</v>
      </c>
      <c r="H7" s="3" t="s">
        <v>31</v>
      </c>
    </row>
    <row r="8" spans="1:8" x14ac:dyDescent="0.35">
      <c r="A8" s="9" t="s">
        <v>7</v>
      </c>
      <c r="B8" s="5">
        <v>5.3</v>
      </c>
      <c r="C8" s="6">
        <v>2544</v>
      </c>
      <c r="D8" s="7">
        <v>15633898</v>
      </c>
      <c r="E8" s="14">
        <v>38.450000000000003</v>
      </c>
      <c r="G8" s="1" t="s">
        <v>44</v>
      </c>
      <c r="H8" s="3" t="s">
        <v>43</v>
      </c>
    </row>
    <row r="9" spans="1:8" x14ac:dyDescent="0.35">
      <c r="A9" s="10" t="s">
        <v>8</v>
      </c>
      <c r="B9" s="5">
        <v>12.4</v>
      </c>
      <c r="C9" s="6">
        <v>12598</v>
      </c>
      <c r="D9" s="7">
        <v>21249690</v>
      </c>
      <c r="E9" s="14">
        <v>74.77</v>
      </c>
      <c r="G9" s="1" t="s">
        <v>32</v>
      </c>
    </row>
    <row r="10" spans="1:8" x14ac:dyDescent="0.35">
      <c r="A10" s="9" t="s">
        <v>9</v>
      </c>
      <c r="B10" s="5">
        <v>105.5</v>
      </c>
      <c r="C10" s="6">
        <v>489</v>
      </c>
      <c r="D10" s="7">
        <v>16201.4</v>
      </c>
      <c r="E10" s="14">
        <v>49.65</v>
      </c>
      <c r="G10" s="1" t="s">
        <v>47</v>
      </c>
      <c r="H10" s="3" t="s">
        <v>38</v>
      </c>
    </row>
    <row r="11" spans="1:8" x14ac:dyDescent="0.35">
      <c r="A11" s="9" t="s">
        <v>10</v>
      </c>
      <c r="B11" s="5">
        <v>30.2</v>
      </c>
      <c r="C11" s="6">
        <v>12475</v>
      </c>
      <c r="D11" s="7">
        <v>3987038</v>
      </c>
      <c r="E11" s="14">
        <v>77.680000000000007</v>
      </c>
      <c r="G11" s="1" t="s">
        <v>70</v>
      </c>
      <c r="H11" s="3" t="s">
        <v>69</v>
      </c>
    </row>
    <row r="12" spans="1:8" x14ac:dyDescent="0.35">
      <c r="A12" s="10" t="s">
        <v>11</v>
      </c>
      <c r="B12" s="5">
        <v>41.3</v>
      </c>
      <c r="C12" s="6">
        <v>48346</v>
      </c>
      <c r="D12" s="7">
        <v>1787174</v>
      </c>
      <c r="E12" s="14">
        <v>74.27</v>
      </c>
    </row>
    <row r="13" spans="1:8" x14ac:dyDescent="0.35">
      <c r="A13" s="9" t="s">
        <v>12</v>
      </c>
      <c r="B13" s="5">
        <v>12.3</v>
      </c>
      <c r="C13" s="6">
        <v>71</v>
      </c>
      <c r="D13" s="7">
        <v>155876</v>
      </c>
      <c r="E13" s="14">
        <v>94.37</v>
      </c>
    </row>
    <row r="14" spans="1:8" x14ac:dyDescent="0.35">
      <c r="A14" s="9" t="s">
        <v>13</v>
      </c>
      <c r="B14" s="5">
        <v>3.5</v>
      </c>
      <c r="C14" s="6">
        <v>65</v>
      </c>
      <c r="D14" s="7">
        <v>672141.4</v>
      </c>
      <c r="E14" s="14">
        <v>54.62</v>
      </c>
    </row>
    <row r="15" spans="1:8" x14ac:dyDescent="0.35">
      <c r="A15" s="9" t="s">
        <v>14</v>
      </c>
      <c r="B15" s="5">
        <v>58.5</v>
      </c>
      <c r="C15" s="6">
        <v>332</v>
      </c>
      <c r="D15" s="7">
        <v>216080.5</v>
      </c>
      <c r="E15" s="14">
        <v>77.37</v>
      </c>
    </row>
    <row r="16" spans="1:8" x14ac:dyDescent="0.35">
      <c r="A16" s="10" t="s">
        <v>15</v>
      </c>
      <c r="B16" s="5">
        <v>104.4</v>
      </c>
      <c r="C16" s="6">
        <v>2664</v>
      </c>
      <c r="D16" s="7">
        <v>7095.95</v>
      </c>
      <c r="E16" s="14">
        <v>62.36</v>
      </c>
    </row>
    <row r="17" spans="1:5" x14ac:dyDescent="0.35">
      <c r="A17" s="9" t="s">
        <v>16</v>
      </c>
      <c r="B17" s="5">
        <v>8.4</v>
      </c>
      <c r="C17" s="6">
        <v>11420</v>
      </c>
      <c r="D17" s="7">
        <v>519706.3</v>
      </c>
      <c r="E17" s="14">
        <v>68.86</v>
      </c>
    </row>
    <row r="18" spans="1:5" x14ac:dyDescent="0.35">
      <c r="A18" s="10" t="s">
        <v>17</v>
      </c>
      <c r="B18" s="5">
        <v>46.9</v>
      </c>
      <c r="C18" s="6">
        <v>22248</v>
      </c>
      <c r="D18" s="7">
        <v>2308267</v>
      </c>
      <c r="E18" s="14">
        <v>83</v>
      </c>
    </row>
    <row r="19" spans="1:5" x14ac:dyDescent="0.35">
      <c r="A19" s="10" t="s">
        <v>18</v>
      </c>
      <c r="B19" s="5">
        <v>8.4</v>
      </c>
      <c r="C19" s="6">
        <v>444869</v>
      </c>
      <c r="D19" s="7">
        <v>4014862</v>
      </c>
      <c r="E19" s="14">
        <v>62.64</v>
      </c>
    </row>
    <row r="20" spans="1:5" x14ac:dyDescent="0.35">
      <c r="A20" s="9" t="s">
        <v>19</v>
      </c>
      <c r="B20" s="5">
        <v>116.3</v>
      </c>
      <c r="C20" s="6">
        <v>4603</v>
      </c>
      <c r="D20" s="7">
        <v>61847.59</v>
      </c>
      <c r="E20" s="14">
        <v>81.62</v>
      </c>
    </row>
    <row r="21" spans="1:5" x14ac:dyDescent="0.35">
      <c r="A21" s="10" t="s">
        <v>20</v>
      </c>
      <c r="B21" s="5">
        <v>30.5</v>
      </c>
      <c r="C21" s="6">
        <v>2501</v>
      </c>
      <c r="D21" s="7">
        <v>8786589</v>
      </c>
      <c r="E21" s="14">
        <v>58.07</v>
      </c>
    </row>
    <row r="22" spans="1:5" x14ac:dyDescent="0.35">
      <c r="A22" s="15" t="s">
        <v>22</v>
      </c>
      <c r="B22" s="16">
        <v>9.3000000000000007</v>
      </c>
      <c r="C22" s="17">
        <v>0.5</v>
      </c>
      <c r="D22" s="18">
        <v>2215443</v>
      </c>
      <c r="E22" s="19">
        <v>64.180000000000007</v>
      </c>
    </row>
  </sheetData>
  <mergeCells count="1">
    <mergeCell ref="A1:E2"/>
  </mergeCells>
  <hyperlinks>
    <hyperlink ref="H4" r:id="rId1" display="https://oceanconservancy.org/wp-content/uploads/2024/09/ICCAnnualReport2024_Digital.pdf" xr:uid="{57926909-B46A-4DA3-ADA1-E2097D9A3FFA}"/>
    <hyperlink ref="H5" r:id="rId2" display="https://www.reportlinker.com/dataset/745b5e960b21ca05498f4dd4a7e086a4433e3a6b" xr:uid="{9A9E2698-B5A2-45DA-8D78-654B150FF030}"/>
    <hyperlink ref="H6" r:id="rId3" display="https://worldpopulationreview.com/country-rankings/plastic-pollution-by-country" xr:uid="{917B77C0-7824-4B55-884D-92E42F23A18C}"/>
    <hyperlink ref="H7" r:id="rId4" xr:uid="{BBD23BE1-814E-484F-AF90-6707903AAD01}"/>
    <hyperlink ref="H8" r:id="rId5" display="https://worldpopulationreview.com/country-rankings/plastic-pollution-by-country" xr:uid="{1C0132EE-560C-4E7D-B554-AECCB965A422}"/>
    <hyperlink ref="H10" r:id="rId6" xr:uid="{6A9D5F02-82DF-41B1-91E6-E3F4CDBD7E82}"/>
    <hyperlink ref="H11" r:id="rId7" display="10 trash item" xr:uid="{773C34BC-2B23-4DFC-A5CE-5CBBC49A9D9B}"/>
  </hyperlinks>
  <pageMargins left="0.7" right="0.7" top="0.75" bottom="0.75" header="0.3" footer="0.3"/>
  <legacyDrawing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Agregat</vt:lpstr>
      <vt:lpstr>SEA</vt:lpstr>
      <vt:lpstr>Fish Consumption</vt:lpstr>
      <vt:lpstr>Kebocoran Sampah Plastik</vt:lpstr>
      <vt:lpstr>Top 10</vt:lpstr>
      <vt:lpstr>Category Item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Aulia</dc:creator>
  <cp:lastModifiedBy>Nia Aulia</cp:lastModifiedBy>
  <dcterms:created xsi:type="dcterms:W3CDTF">2026-04-24T13:12:42Z</dcterms:created>
  <dcterms:modified xsi:type="dcterms:W3CDTF">2026-04-25T14:41:01Z</dcterms:modified>
</cp:coreProperties>
</file>